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anick/Desktop/"/>
    </mc:Choice>
  </mc:AlternateContent>
  <xr:revisionPtr revIDLastSave="0" documentId="13_ncr:9_{6BEF481C-F6C1-D84A-BB9E-B34F54849F66}" xr6:coauthVersionLast="47" xr6:coauthVersionMax="47" xr10:uidLastSave="{00000000-0000-0000-0000-000000000000}"/>
  <bookViews>
    <workbookView xWindow="23220" yWindow="7480" windowWidth="28040" windowHeight="17180" xr2:uid="{833567C5-0EB0-F241-A59C-87E9D7224E38}"/>
  </bookViews>
  <sheets>
    <sheet name="cali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6" i="2"/>
  <c r="D3" i="2"/>
  <c r="D4" i="2"/>
</calcChain>
</file>

<file path=xl/sharedStrings.xml><?xml version="1.0" encoding="utf-8"?>
<sst xmlns="http://schemas.openxmlformats.org/spreadsheetml/2006/main" count="2" uniqueCount="2">
  <si>
    <t>measured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</si>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</sst>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calib!$A$1</c:f>
              <c:strCache>
                <c:ptCount val="1"/>
                <c:pt idx="0">
                  <c:v>measured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calib!$B$2:$B$23</c:f>
              <c:numCache>
                <c:formatCode>General</c:formatCode>
                <c:ptCount val="22"/>
                <c:pt idx="0">
                  <c:v>0</c:v>
                </c:pt>
                <c:pt idx="1">
                  <c:v>22.2</c:v>
                </c:pt>
                <c:pt idx="2">
                  <c:v>100</c:v>
                </c:pt>
                <c:pt idx="3">
                  <c:v>22.1</c:v>
                </c:pt>
                <c:pt idx="4">
                  <c:v>21.4</c:v>
                </c:pt>
                <c:pt idx="5">
                  <c:v>21.2</c:v>
                </c:pt>
                <c:pt idx="6">
                  <c:v>21.7</c:v>
                </c:pt>
                <c:pt idx="7">
                  <c:v>21.9</c:v>
                </c:pt>
                <c:pt idx="8">
                  <c:v>22</c:v>
                </c:pt>
                <c:pt idx="9">
                  <c:v>22</c:v>
                </c:pt>
                <c:pt idx="10">
                  <c:v>22.1</c:v>
                </c:pt>
                <c:pt idx="11">
                  <c:v>22.5</c:v>
                </c:pt>
                <c:pt idx="12">
                  <c:v>22.4</c:v>
                </c:pt>
                <c:pt idx="13">
                  <c:v>4.3</c:v>
                </c:pt>
                <c:pt idx="14">
                  <c:v>20.100000000000001</c:v>
                </c:pt>
                <c:pt idx="15">
                  <c:v>20.3</c:v>
                </c:pt>
                <c:pt idx="16">
                  <c:v>7.7</c:v>
                </c:pt>
                <c:pt idx="17">
                  <c:v>4.0999999999999996</c:v>
                </c:pt>
                <c:pt idx="18">
                  <c:v>3.8</c:v>
                </c:pt>
                <c:pt idx="19">
                  <c:v>4.2</c:v>
                </c:pt>
                <c:pt idx="20">
                  <c:v>17.8</c:v>
                </c:pt>
                <c:pt idx="21">
                  <c:v>42.1</c:v>
                </c:pt>
              </c:numCache>
            </c:numRef>
          </c:xVal>
          <c:yVal>
            <c:numRef>
              <c:f>calib!$A$2:$A$23</c:f>
              <c:numCache>
                <c:formatCode>General</c:formatCode>
                <c:ptCount val="22"/>
                <c:pt idx="0">
                  <c:v>5</c:v>
                </c:pt>
                <c:pt idx="1">
                  <c:v>23</c:v>
                </c:pt>
                <c:pt idx="2">
                  <c:v>102.4</c:v>
                </c:pt>
                <c:pt idx="3">
                  <c:v>23</c:v>
                </c:pt>
                <c:pt idx="4">
                  <c:v>23.8</c:v>
                </c:pt>
                <c:pt idx="5">
                  <c:v>23.6</c:v>
                </c:pt>
                <c:pt idx="6">
                  <c:v>24.1</c:v>
                </c:pt>
                <c:pt idx="7">
                  <c:v>24.6</c:v>
                </c:pt>
                <c:pt idx="8">
                  <c:v>24.6</c:v>
                </c:pt>
                <c:pt idx="9">
                  <c:v>24.7</c:v>
                </c:pt>
                <c:pt idx="10">
                  <c:v>24.7</c:v>
                </c:pt>
                <c:pt idx="11">
                  <c:v>25.2</c:v>
                </c:pt>
                <c:pt idx="12">
                  <c:v>24.9</c:v>
                </c:pt>
                <c:pt idx="13">
                  <c:v>6.3</c:v>
                </c:pt>
                <c:pt idx="14">
                  <c:v>22.5</c:v>
                </c:pt>
                <c:pt idx="15">
                  <c:v>22.4</c:v>
                </c:pt>
                <c:pt idx="16">
                  <c:v>9.3000000000000007</c:v>
                </c:pt>
                <c:pt idx="17">
                  <c:v>6.2</c:v>
                </c:pt>
                <c:pt idx="18">
                  <c:v>5.8</c:v>
                </c:pt>
                <c:pt idx="19">
                  <c:v>6.8</c:v>
                </c:pt>
                <c:pt idx="20">
                  <c:v>21</c:v>
                </c:pt>
                <c:pt idx="21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09-F54E-889B-A7876F86F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02591"/>
        <c:axId val="121184575"/>
      </c:scatterChart>
      <c:valAx>
        <c:axId val="11090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84575"/>
        <c:crosses val="autoZero"/>
        <c:crossBetween val="midCat"/>
      </c:valAx>
      <c:valAx>
        <c:axId val="12118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0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12</xdr:row>
      <xdr:rowOff>88900</xdr:rowOff>
    </xdr:from>
    <xdr:to>
      <xdr:col>11</xdr:col>
      <xdr:colOff>50800</xdr:colOff>
      <xdr:row>25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2D3D39-26F2-482C-8FC4-8E9F776E4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27B4-9990-E941-8856-D48E392903B0}">
  <dimension ref="A1:D23"/>
  <sheetViews>
    <sheetView tabSelected="1" workbookViewId="0">
      <selection activeCell="D7" sqref="D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</row>
    <row r="2" spans="1:4" x14ac:dyDescent="0.2">
      <c r="A2">
        <v>5</v>
      </c>
      <c r="B2">
        <v>0</v>
      </c>
    </row>
    <row r="3" spans="1:4" x14ac:dyDescent="0.2">
      <c r="A3">
        <v>23</v>
      </c>
      <c r="B3">
        <v>22.2</v>
      </c>
      <c r="D3">
        <f>SLOPE(A2:A23,B2:B23)</f>
        <v>0.99734145798600327</v>
      </c>
    </row>
    <row r="4" spans="1:4" x14ac:dyDescent="0.2">
      <c r="A4">
        <v>102.4</v>
      </c>
      <c r="B4">
        <v>100</v>
      </c>
      <c r="D4">
        <f>INTERCEPT(A2:A23,B2:B23)</f>
        <v>2.4653915783782239</v>
      </c>
    </row>
    <row r="5" spans="1:4" x14ac:dyDescent="0.2">
      <c r="A5">
        <v>23</v>
      </c>
      <c r="B5">
        <v>22.1</v>
      </c>
    </row>
    <row r="6" spans="1:4" x14ac:dyDescent="0.2">
      <c r="A6">
        <v>23.8</v>
      </c>
      <c r="B6">
        <v>21.4</v>
      </c>
      <c r="D6">
        <f>SLOPE(B2:B23,A2:A23)</f>
        <v>1.0010093868451651</v>
      </c>
    </row>
    <row r="7" spans="1:4" x14ac:dyDescent="0.2">
      <c r="A7">
        <v>23.6</v>
      </c>
      <c r="B7">
        <v>21.2</v>
      </c>
      <c r="D7">
        <f>INTERCEPT(B2:B23,A2:A23)</f>
        <v>-2.4328986742707279</v>
      </c>
    </row>
    <row r="8" spans="1:4" x14ac:dyDescent="0.2">
      <c r="A8">
        <v>24.1</v>
      </c>
      <c r="B8">
        <v>21.7</v>
      </c>
    </row>
    <row r="9" spans="1:4" x14ac:dyDescent="0.2">
      <c r="A9">
        <v>24.6</v>
      </c>
      <c r="B9">
        <v>21.9</v>
      </c>
    </row>
    <row r="10" spans="1:4" x14ac:dyDescent="0.2">
      <c r="A10">
        <v>24.6</v>
      </c>
      <c r="B10">
        <v>22</v>
      </c>
    </row>
    <row r="11" spans="1:4" x14ac:dyDescent="0.2">
      <c r="A11">
        <v>24.7</v>
      </c>
      <c r="B11">
        <v>22</v>
      </c>
    </row>
    <row r="12" spans="1:4" x14ac:dyDescent="0.2">
      <c r="A12">
        <v>24.7</v>
      </c>
      <c r="B12">
        <v>22.1</v>
      </c>
    </row>
    <row r="13" spans="1:4" x14ac:dyDescent="0.2">
      <c r="A13">
        <v>25.2</v>
      </c>
      <c r="B13">
        <v>22.5</v>
      </c>
    </row>
    <row r="14" spans="1:4" x14ac:dyDescent="0.2">
      <c r="A14">
        <v>24.9</v>
      </c>
      <c r="B14">
        <v>22.4</v>
      </c>
    </row>
    <row r="15" spans="1:4" x14ac:dyDescent="0.2">
      <c r="A15">
        <v>6.3</v>
      </c>
      <c r="B15">
        <v>4.3</v>
      </c>
    </row>
    <row r="16" spans="1:4" x14ac:dyDescent="0.2">
      <c r="A16">
        <v>22.5</v>
      </c>
      <c r="B16">
        <v>20.100000000000001</v>
      </c>
    </row>
    <row r="17" spans="1:2" x14ac:dyDescent="0.2">
      <c r="A17">
        <v>22.4</v>
      </c>
      <c r="B17">
        <v>20.3</v>
      </c>
    </row>
    <row r="18" spans="1:2" x14ac:dyDescent="0.2">
      <c r="A18">
        <v>9.3000000000000007</v>
      </c>
      <c r="B18">
        <v>7.7</v>
      </c>
    </row>
    <row r="19" spans="1:2" x14ac:dyDescent="0.2">
      <c r="A19">
        <v>6.2</v>
      </c>
      <c r="B19">
        <v>4.0999999999999996</v>
      </c>
    </row>
    <row r="20" spans="1:2" x14ac:dyDescent="0.2">
      <c r="A20">
        <v>5.8</v>
      </c>
      <c r="B20">
        <v>3.8</v>
      </c>
    </row>
    <row r="21" spans="1:2" x14ac:dyDescent="0.2">
      <c r="A21">
        <v>6.8</v>
      </c>
      <c r="B21">
        <v>4.2</v>
      </c>
    </row>
    <row r="22" spans="1:2" x14ac:dyDescent="0.2">
      <c r="A22">
        <v>21</v>
      </c>
      <c r="B22">
        <v>17.8</v>
      </c>
    </row>
    <row r="23" spans="1:2" x14ac:dyDescent="0.2">
      <c r="A23">
        <v>45</v>
      </c>
      <c r="B23">
        <v>42.1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Ferralis</dc:creator>
  <cp:lastModifiedBy>Nicola Ferralis</cp:lastModifiedBy>
  <dcterms:created xsi:type="dcterms:W3CDTF">2025-11-18T01:43:19Z</dcterms:created>
  <dcterms:modified xsi:type="dcterms:W3CDTF">2025-11-18T01:58:50Z</dcterms:modified>
</cp:coreProperties>
</file>